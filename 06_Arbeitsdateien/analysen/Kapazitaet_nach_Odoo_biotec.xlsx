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Übersicht" sheetId="1" state="visible" r:id="rId1"/>
    <sheet xmlns:r="http://schemas.openxmlformats.org/officeDocument/2006/relationships" name="Annahmen" sheetId="2" state="visible" r:id="rId2"/>
    <sheet xmlns:r="http://schemas.openxmlformats.org/officeDocument/2006/relationships" name="Tätigkeiten" sheetId="3" state="visible" r:id="rId3"/>
    <sheet xmlns:r="http://schemas.openxmlformats.org/officeDocument/2006/relationships" name="Rollen" sheetId="4" state="visible" r:id="rId4"/>
    <sheet xmlns:r="http://schemas.openxmlformats.org/officeDocument/2006/relationships" name="Verwendung" sheetId="5" state="visible" r:id="rId5"/>
  </sheets>
  <definedNames/>
  <calcPr calcId="124519" fullCalcOnLoad="1"/>
</workbook>
</file>

<file path=xl/styles.xml><?xml version="1.0" encoding="utf-8"?>
<styleSheet xmlns="http://schemas.openxmlformats.org/spreadsheetml/2006/main">
  <numFmts count="3">
    <numFmt numFmtId="164" formatCode="#,##0.0"/>
    <numFmt numFmtId="165" formatCode="#,##0 €"/>
    <numFmt numFmtId="166" formatCode="0,0 %"/>
  </numFmts>
  <fonts count="7">
    <font>
      <name val="Calibri"/>
      <family val="2"/>
      <color theme="1"/>
      <sz val="11"/>
      <scheme val="minor"/>
    </font>
    <font>
      <b val="1"/>
      <color rgb="001F4E79"/>
      <sz val="13"/>
    </font>
    <font>
      <i val="1"/>
      <color rgb="00595959"/>
      <sz val="9"/>
    </font>
    <font>
      <b val="1"/>
      <color rgb="00FFFFFF"/>
      <sz val="10"/>
    </font>
    <font>
      <sz val="10"/>
    </font>
    <font>
      <color rgb="00FFFFFF"/>
      <sz val="8"/>
    </font>
    <font>
      <b val="1"/>
      <sz val="10"/>
    </font>
  </fonts>
  <fills count="5">
    <fill>
      <patternFill/>
    </fill>
    <fill>
      <patternFill patternType="gray125"/>
    </fill>
    <fill>
      <patternFill patternType="solid">
        <fgColor rgb="001F4E79"/>
      </patternFill>
    </fill>
    <fill>
      <patternFill patternType="solid">
        <fgColor rgb="00FFF2A8"/>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vertical="center" wrapText="1"/>
    </xf>
    <xf numFmtId="0" fontId="4" fillId="0" borderId="1" applyAlignment="1" pivotButton="0" quotePrefix="0" xfId="0">
      <alignment vertical="top"/>
    </xf>
    <xf numFmtId="164" fontId="4" fillId="0" borderId="1" applyAlignment="1" pivotButton="0" quotePrefix="0" xfId="0">
      <alignment vertical="top" wrapText="1"/>
    </xf>
    <xf numFmtId="0" fontId="5" fillId="0" borderId="0" pivotButton="0" quotePrefix="0" xfId="0"/>
    <xf numFmtId="0" fontId="4" fillId="3" borderId="1" applyAlignment="1" pivotButton="0" quotePrefix="0" xfId="0">
      <alignment vertical="top"/>
    </xf>
    <xf numFmtId="164" fontId="4" fillId="3" borderId="1" applyAlignment="1" pivotButton="0" quotePrefix="0" xfId="0">
      <alignment vertical="top" wrapText="1"/>
    </xf>
    <xf numFmtId="165" fontId="4" fillId="0" borderId="1" applyAlignment="1" pivotButton="0" quotePrefix="0" xfId="0">
      <alignment vertical="top" wrapText="1"/>
    </xf>
    <xf numFmtId="166" fontId="4" fillId="0" borderId="1" applyAlignment="1" pivotButton="0" quotePrefix="0" xfId="0">
      <alignment vertical="top" wrapText="1"/>
    </xf>
    <xf numFmtId="0" fontId="4" fillId="0" borderId="1" applyAlignment="1" pivotButton="0" quotePrefix="0" xfId="0">
      <alignment vertical="top" wrapText="1"/>
    </xf>
    <xf numFmtId="3" fontId="4" fillId="0" borderId="1" applyAlignment="1" pivotButton="0" quotePrefix="0" xfId="0">
      <alignment vertical="top"/>
    </xf>
    <xf numFmtId="4" fontId="4" fillId="0" borderId="1" applyAlignment="1" pivotButton="0" quotePrefix="0" xfId="0">
      <alignment vertical="top"/>
    </xf>
    <xf numFmtId="0" fontId="4" fillId="3" borderId="1" applyAlignment="1" pivotButton="0" quotePrefix="0" xfId="0">
      <alignment vertical="top" wrapText="1"/>
    </xf>
    <xf numFmtId="4" fontId="4" fillId="3" borderId="1" applyAlignment="1" pivotButton="0" quotePrefix="0" xfId="0">
      <alignment vertical="top"/>
    </xf>
    <xf numFmtId="164" fontId="4" fillId="0" borderId="1" applyAlignment="1" pivotButton="0" quotePrefix="0" xfId="0">
      <alignment vertical="top"/>
    </xf>
    <xf numFmtId="0" fontId="6" fillId="3" borderId="1" applyAlignment="1" pivotButton="0" quotePrefix="0" xfId="0">
      <alignment vertical="top"/>
    </xf>
    <xf numFmtId="0" fontId="6" fillId="3" borderId="1" applyAlignment="1" pivotButton="0" quotePrefix="0" xfId="0">
      <alignment vertical="top" wrapText="1"/>
    </xf>
    <xf numFmtId="164" fontId="6" fillId="3" borderId="1" applyAlignment="1" pivotButton="0" quotePrefix="0" xfId="0">
      <alignment vertical="top"/>
    </xf>
    <xf numFmtId="0" fontId="6" fillId="4" borderId="1" applyAlignment="1" pivotButton="0" quotePrefix="0" xfId="0">
      <alignment vertical="top"/>
    </xf>
    <xf numFmtId="0" fontId="6" fillId="4" borderId="1" applyAlignment="1" pivotButton="0" quotePrefix="0" xfId="0">
      <alignment vertical="top" wrapText="1"/>
    </xf>
    <xf numFmtId="164" fontId="6" fillId="4"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46" customWidth="1" min="1" max="1"/>
    <col width="14" customWidth="1" min="2" max="2"/>
    <col width="12" customWidth="1" min="3" max="3"/>
    <col width="60" customWidth="1" min="4" max="4"/>
    <col width="12" customWidth="1" min="5" max="5"/>
    <col width="12" customWidth="1" min="6" max="6"/>
    <col width="12" customWidth="1" min="7" max="7"/>
  </cols>
  <sheetData>
    <row r="1">
      <c r="A1" s="1" t="inlineStr">
        <is>
          <t>Freiwerdende Personalkapazität nach dem Umstieg auf Odoo</t>
        </is>
      </c>
    </row>
    <row r="2" ht="28" customHeight="1">
      <c r="A2" s="2" t="inlineStr">
        <is>
          <t>biotec GmbH · Schätzung, Stand 01.09.2026 · CertoClav Sterilizer GmbH. Alle Mengen und Zeiten sind Eingabewerte im Blatt „Annahmen“ bzw. „Tätigkeiten“ und mit Quelle hinterlegt.</t>
        </is>
      </c>
    </row>
    <row r="3" ht="28" customHeight="1">
      <c r="A3" s="2" t="inlineStr">
        <is>
          <t>Zeitaufnahmen der heutigen Abläufe liegen nicht vor. Die Minutenwerte sind Schätzungen und in einem Termin mit Michael Brand und Nicole Krupa zu bestätigen. Konservativ gerechnet: Der Wert nachher ist nie null, weil auch ein System bedient werden muss.</t>
        </is>
      </c>
    </row>
    <row r="5" ht="30" customHeight="1">
      <c r="A5" s="3" t="inlineStr">
        <is>
          <t>Kennzahl</t>
        </is>
      </c>
      <c r="B5" s="3" t="inlineStr">
        <is>
          <t>Wert</t>
        </is>
      </c>
      <c r="C5" s="3" t="inlineStr">
        <is>
          <t>Einheit</t>
        </is>
      </c>
      <c r="D5" s="3" t="inlineStr">
        <is>
          <t>Hinweis</t>
        </is>
      </c>
      <c r="E5" s="3" t="inlineStr"/>
      <c r="F5" s="3" t="inlineStr"/>
      <c r="G5" s="3" t="inlineStr"/>
    </row>
    <row r="6">
      <c r="A6" s="4" t="inlineStr">
        <is>
          <t>Gebundene Stunden je Jahr heute</t>
        </is>
      </c>
      <c r="B6" s="5">
        <f>Tätigkeiten!H20</f>
        <v/>
      </c>
      <c r="C6" s="4" t="inlineStr">
        <is>
          <t>Stunden</t>
        </is>
      </c>
      <c r="D6" s="4" t="inlineStr">
        <is>
          <t>Summe aus Blatt Tätigkeiten</t>
        </is>
      </c>
      <c r="J6" s="6">
        <f>Tätigkeiten!J20</f>
        <v/>
      </c>
    </row>
    <row r="7">
      <c r="A7" s="4" t="inlineStr">
        <is>
          <t>Gebundene Stunden je Jahr nach Odoo</t>
        </is>
      </c>
      <c r="B7" s="5">
        <f>Tätigkeiten!I20</f>
        <v/>
      </c>
      <c r="C7" s="4" t="inlineStr">
        <is>
          <t>Stunden</t>
        </is>
      </c>
      <c r="D7" s="4" t="inlineStr"/>
    </row>
    <row r="8">
      <c r="A8" s="7" t="inlineStr">
        <is>
          <t>Freiwerdende Stunden je Jahr</t>
        </is>
      </c>
      <c r="B8" s="8">
        <f>Tätigkeiten!J20</f>
        <v/>
      </c>
      <c r="C8" s="7" t="inlineStr">
        <is>
          <t>Stunden</t>
        </is>
      </c>
      <c r="D8" s="7" t="inlineStr">
        <is>
          <t>Differenz</t>
        </is>
      </c>
    </row>
    <row r="9">
      <c r="A9" s="4" t="inlineStr">
        <is>
          <t>Entspricht Vollzeitstellen</t>
        </is>
      </c>
      <c r="B9" s="5">
        <f>$J$6/Annahmen!C16</f>
        <v/>
      </c>
      <c r="C9" s="4" t="inlineStr">
        <is>
          <t>VZÄ</t>
        </is>
      </c>
      <c r="D9" s="4" t="inlineStr">
        <is>
          <t>bei den im Blatt Annahmen genannten Jahresstunden</t>
        </is>
      </c>
    </row>
    <row r="10">
      <c r="A10" s="4" t="inlineStr">
        <is>
          <t>Bewertet mit dem Vollkostensatz</t>
        </is>
      </c>
      <c r="B10" s="9">
        <f>$J$6*Annahmen!C15</f>
        <v/>
      </c>
      <c r="C10" s="4" t="inlineStr">
        <is>
          <t>EUR je Jahr</t>
        </is>
      </c>
      <c r="D10" s="4" t="inlineStr">
        <is>
          <t>Vollkostensatz ist eine Annahme – bitte ersetzen</t>
        </is>
      </c>
    </row>
    <row r="11">
      <c r="A11" s="4" t="inlineStr">
        <is>
          <t>Anteil der freiwerdenden Zeit</t>
        </is>
      </c>
      <c r="B11" s="10">
        <f>Tätigkeiten!J20/Tätigkeiten!H20</f>
        <v/>
      </c>
      <c r="C11" s="4" t="inlineStr">
        <is>
          <t>Prozent</t>
        </is>
      </c>
      <c r="D11" s="4" t="inlineStr">
        <is>
          <t>gemessen an den heute gebundenen Stunden</t>
        </is>
      </c>
    </row>
    <row r="13" ht="28" customHeight="1">
      <c r="A13" s="2" t="inlineStr">
        <is>
          <t>Lesart: Die Zahl ist keine Personaleinsparung. biotec baut ein zweites Dozententeam auf – die Zeit fließt in Wachstum. Das Blatt „Verwendung“ nennt die vorgesehenen Ziele.</t>
        </is>
      </c>
    </row>
    <row r="14" ht="28" customHeight="1">
      <c r="A14" s="2" t="inlineStr">
        <is>
          <t>Empfindlichkeit: Die stärksten Treiber sind die Zahl der Anlagenprüfungen je Jahr (Annahme A3) und der Vollkostensatz (A11). Beide sind noch nicht belegt. Wer die Zahl belastbar braucht, klärt zuerst diese zwei Werte.</t>
        </is>
      </c>
    </row>
  </sheetData>
  <mergeCells count="5">
    <mergeCell ref="A13:G13"/>
    <mergeCell ref="A14:G14"/>
    <mergeCell ref="A1:G1"/>
    <mergeCell ref="A3:G3"/>
    <mergeCell ref="A2:G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7" customWidth="1" min="1" max="1"/>
    <col width="44" customWidth="1" min="2" max="2"/>
    <col width="14" customWidth="1" min="3" max="3"/>
    <col width="12" customWidth="1" min="4" max="4"/>
    <col width="78" customWidth="1" min="5" max="5"/>
  </cols>
  <sheetData>
    <row r="1">
      <c r="A1" s="1" t="inlineStr">
        <is>
          <t>Annahmen und Mengen</t>
        </is>
      </c>
    </row>
    <row r="2" ht="28" customHeight="1">
      <c r="A2" s="2" t="inlineStr">
        <is>
          <t>Jede Zeile ist ein Eingabewert. Quelle oder Annahme steht daneben. Werte, die als Annahme gekennzeichnet sind, sollten vor der Verwendung gegenüber der Gruppe bestätigt werden.</t>
        </is>
      </c>
    </row>
    <row r="4" ht="30" customHeight="1">
      <c r="A4" s="3" t="inlineStr">
        <is>
          <t>Nr.</t>
        </is>
      </c>
      <c r="B4" s="3" t="inlineStr">
        <is>
          <t>Größe</t>
        </is>
      </c>
      <c r="C4" s="3" t="inlineStr">
        <is>
          <t>Wert</t>
        </is>
      </c>
      <c r="D4" s="3" t="inlineStr">
        <is>
          <t>Einheit</t>
        </is>
      </c>
      <c r="E4" s="3" t="inlineStr">
        <is>
          <t>Quelle bzw. Annahme</t>
        </is>
      </c>
    </row>
    <row r="5">
      <c r="A5" s="4" t="inlineStr">
        <is>
          <t>A1</t>
        </is>
      </c>
      <c r="B5" s="11" t="inlineStr">
        <is>
          <t>Anlagen im Bestand des Altsystems</t>
        </is>
      </c>
      <c r="C5" s="12" t="n">
        <v>938</v>
      </c>
      <c r="D5" s="4" t="inlineStr">
        <is>
          <t>Stück</t>
        </is>
      </c>
      <c r="E5" s="4" t="inlineStr">
        <is>
          <t>Datenbank `bt_kunden_anlagen`, Stand 22.08.2026 – Testdatensätze noch enthalten</t>
        </is>
      </c>
    </row>
    <row r="6">
      <c r="A6" s="4" t="inlineStr">
        <is>
          <t>A2</t>
        </is>
      </c>
      <c r="B6" s="11" t="inlineStr">
        <is>
          <t>Prüfturnus im Mittel</t>
        </is>
      </c>
      <c r="C6" s="13" t="n">
        <v>2</v>
      </c>
      <c r="D6" s="4" t="inlineStr">
        <is>
          <t>Jahre</t>
        </is>
      </c>
      <c r="E6" s="4" t="inlineStr">
        <is>
          <t>VDI 6022: je nach Anlagenart ein- bis dreijährig. Konservativ mittig angesetzt</t>
        </is>
      </c>
    </row>
    <row r="7">
      <c r="A7" s="4" t="inlineStr">
        <is>
          <t>A3</t>
        </is>
      </c>
      <c r="B7" s="11" t="inlineStr">
        <is>
          <t>Anlagenprüfungen je Jahr</t>
        </is>
      </c>
      <c r="C7" s="12">
        <f>$C$5/$C$6</f>
        <v/>
      </c>
      <c r="D7" s="4" t="inlineStr">
        <is>
          <t>Stück</t>
        </is>
      </c>
      <c r="E7" s="4" t="inlineStr">
        <is>
          <t>abgeleitet aus A1 und A2. Zum Vergleich: bei Volllast nennt biotec 100 Anlagen je Woche</t>
        </is>
      </c>
    </row>
    <row r="8">
      <c r="A8" s="4" t="inlineStr">
        <is>
          <t>A4</t>
        </is>
      </c>
      <c r="B8" s="11" t="inlineStr">
        <is>
          <t>Gutachten je Jahr</t>
        </is>
      </c>
      <c r="C8" s="12" t="n">
        <v>260</v>
      </c>
      <c r="D8" s="4" t="inlineStr">
        <is>
          <t>Stück</t>
        </is>
      </c>
      <c r="E8" s="4" t="inlineStr">
        <is>
          <t>Schätzung: mehrere Anlagen je Gutachten. Mit Michael Brand zu bestätigen</t>
        </is>
      </c>
    </row>
    <row r="9">
      <c r="A9" s="4" t="inlineStr">
        <is>
          <t>A5</t>
        </is>
      </c>
      <c r="B9" s="11" t="inlineStr">
        <is>
          <t>Rechnungen je Jahr</t>
        </is>
      </c>
      <c r="C9" s="12" t="n">
        <v>520</v>
      </c>
      <c r="D9" s="4" t="inlineStr">
        <is>
          <t>Stück</t>
        </is>
      </c>
      <c r="E9" s="4" t="inlineStr">
        <is>
          <t>Schätzung: Prüf- und Schulungsgeschäft. Aus den Ausgangsrechnungen Mai bis August belegbar</t>
        </is>
      </c>
    </row>
    <row r="10">
      <c r="A10" s="4" t="inlineStr">
        <is>
          <t>A6</t>
        </is>
      </c>
      <c r="B10" s="11" t="inlineStr">
        <is>
          <t>Kurse je Jahr</t>
        </is>
      </c>
      <c r="C10" s="12" t="n">
        <v>40</v>
      </c>
      <c r="D10" s="4" t="inlineStr">
        <is>
          <t>Stück</t>
        </is>
      </c>
      <c r="E10" s="4" t="inlineStr">
        <is>
          <t>Schätzung: bundesweite VDI-Seminare. Aus Kurskatalog und Seminarkalender zu bestätigen</t>
        </is>
      </c>
    </row>
    <row r="11">
      <c r="A11" s="4" t="inlineStr">
        <is>
          <t>A7</t>
        </is>
      </c>
      <c r="B11" s="11" t="inlineStr">
        <is>
          <t>Teilnehmer je Kurs</t>
        </is>
      </c>
      <c r="C11" s="12" t="n">
        <v>12</v>
      </c>
      <c r="D11" s="4" t="inlineStr">
        <is>
          <t>Personen</t>
        </is>
      </c>
      <c r="E11" s="4" t="inlineStr">
        <is>
          <t>Durchführung ab 10 Teilnehmern (Discovery Call)</t>
        </is>
      </c>
    </row>
    <row r="12">
      <c r="A12" s="4" t="inlineStr">
        <is>
          <t>A8</t>
        </is>
      </c>
      <c r="B12" s="11" t="inlineStr">
        <is>
          <t>Neukunden je Jahr</t>
        </is>
      </c>
      <c r="C12" s="12" t="n">
        <v>60</v>
      </c>
      <c r="D12" s="4" t="inlineStr">
        <is>
          <t>Stück</t>
        </is>
      </c>
      <c r="E12" s="4" t="inlineStr">
        <is>
          <t>Schätzung aus 10.387 Interessenten und 243 Kunden. Zu bestätigen</t>
        </is>
      </c>
    </row>
    <row r="13">
      <c r="A13" s="4" t="inlineStr">
        <is>
          <t>A9</t>
        </is>
      </c>
      <c r="B13" s="11" t="inlineStr">
        <is>
          <t>Monatsabschlüsse je Jahr</t>
        </is>
      </c>
      <c r="C13" s="12" t="n">
        <v>12</v>
      </c>
      <c r="D13" s="4" t="inlineStr">
        <is>
          <t>Stück</t>
        </is>
      </c>
      <c r="E13" s="4" t="inlineStr">
        <is>
          <t>Standard</t>
        </is>
      </c>
    </row>
    <row r="14">
      <c r="A14" s="4" t="inlineStr">
        <is>
          <t>A10</t>
        </is>
      </c>
      <c r="B14" s="11" t="inlineStr">
        <is>
          <t>Meldungen an LucaNet je Jahr</t>
        </is>
      </c>
      <c r="C14" s="12" t="n">
        <v>12</v>
      </c>
      <c r="D14" s="4" t="inlineStr">
        <is>
          <t>Stück</t>
        </is>
      </c>
      <c r="E14" s="4" t="inlineStr">
        <is>
          <t>Melderhythmus der Certania-Gruppe noch offen (Frage 46)</t>
        </is>
      </c>
    </row>
    <row r="15">
      <c r="A15" s="7" t="inlineStr">
        <is>
          <t>A11</t>
        </is>
      </c>
      <c r="B15" s="14" t="inlineStr">
        <is>
          <t>Vollkostensatz je Stunde</t>
        </is>
      </c>
      <c r="C15" s="15" t="n">
        <v>55</v>
      </c>
      <c r="D15" s="7" t="inlineStr">
        <is>
          <t>EUR</t>
        </is>
      </c>
      <c r="E15" s="7" t="inlineStr">
        <is>
          <t>**Annahme.** Interne Stunden- und Kostensätze sind noch nicht geliefert (Position K3). Wert bitte durch den tatsächlichen ersetzen</t>
        </is>
      </c>
    </row>
    <row r="16">
      <c r="A16" s="4" t="inlineStr">
        <is>
          <t>A12</t>
        </is>
      </c>
      <c r="B16" s="11" t="inlineStr">
        <is>
          <t>Arbeitsstunden je Vollzeitstelle und Jahr</t>
        </is>
      </c>
      <c r="C16" s="12" t="n">
        <v>1600</v>
      </c>
      <c r="D16" s="4" t="inlineStr">
        <is>
          <t>Stunden</t>
        </is>
      </c>
      <c r="E16" s="4" t="inlineStr">
        <is>
          <t>Netto nach Urlaub, Feiertagen und Krankheit</t>
        </is>
      </c>
    </row>
  </sheetData>
  <mergeCells count="2">
    <mergeCell ref="A2:E2"/>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RowHeight="15"/>
  <cols>
    <col width="42" customWidth="1" min="1" max="1"/>
    <col width="14" customWidth="1" min="2" max="2"/>
    <col width="13" customWidth="1" min="3" max="3"/>
    <col width="10" customWidth="1" min="4" max="4"/>
    <col width="11" customWidth="1" min="5" max="5"/>
    <col width="22" customWidth="1" min="6" max="6"/>
    <col width="62" customWidth="1" min="7" max="7"/>
    <col width="11" customWidth="1" min="8" max="8"/>
    <col width="12" customWidth="1" min="9" max="9"/>
    <col width="11" customWidth="1" min="10" max="10"/>
  </cols>
  <sheetData>
    <row r="1">
      <c r="A1" s="1" t="inlineStr">
        <is>
          <t>Tätigkeiten: heute gebundene und künftig benötigte Zeit</t>
        </is>
      </c>
    </row>
    <row r="2" ht="28" customHeight="1">
      <c r="A2" s="2" t="inlineStr">
        <is>
          <t>Rechenweg je Zeile: Menge × Minuten ÷ 60 = Stunden je Jahr. Nur Tätigkeiten, die einem konkreten Arbeitsschritt zugeordnet sind – kein pauschaler Effizienzgewinn.</t>
        </is>
      </c>
    </row>
    <row r="4" ht="30" customHeight="1">
      <c r="A4" s="3" t="inlineStr">
        <is>
          <t>Tätigkeit</t>
        </is>
      </c>
      <c r="B4" s="3" t="inlineStr">
        <is>
          <t>Mengenbezug</t>
        </is>
      </c>
      <c r="C4" s="3" t="inlineStr">
        <is>
          <t>Menge je Jahr</t>
        </is>
      </c>
      <c r="D4" s="3" t="inlineStr">
        <is>
          <t>Min heute</t>
        </is>
      </c>
      <c r="E4" s="3" t="inlineStr">
        <is>
          <t>Min nachher</t>
        </is>
      </c>
      <c r="F4" s="3" t="inlineStr">
        <is>
          <t>Rolle</t>
        </is>
      </c>
      <c r="G4" s="3" t="inlineStr">
        <is>
          <t>Begründung</t>
        </is>
      </c>
      <c r="H4" s="3" t="inlineStr">
        <is>
          <t>Std heute</t>
        </is>
      </c>
      <c r="I4" s="3" t="inlineStr">
        <is>
          <t>Std nachher</t>
        </is>
      </c>
      <c r="J4" s="3" t="inlineStr">
        <is>
          <t>Std frei</t>
        </is>
      </c>
    </row>
    <row r="5">
      <c r="A5" s="4" t="inlineStr">
        <is>
          <t>Anlagenliste erstellen und ausdrucken</t>
        </is>
      </c>
      <c r="B5" s="11" t="inlineStr">
        <is>
          <t>je Prüfung</t>
        </is>
      </c>
      <c r="C5" s="12">
        <f>Annahmen!$C$7</f>
        <v/>
      </c>
      <c r="D5" s="4" t="n">
        <v>25</v>
      </c>
      <c r="E5" s="4" t="n">
        <v>5</v>
      </c>
      <c r="F5" s="4" t="inlineStr">
        <is>
          <t>Projektleitung / Labor</t>
        </is>
      </c>
      <c r="G5" s="11" t="inlineStr">
        <is>
          <t>Heute in einer Zusatzsoftware erstellt und auf Papier ausgedruckt. Künftig aus dem Anlagenstamm in Odoo erzeugt</t>
        </is>
      </c>
      <c r="H5" s="16">
        <f>C5*D5/60</f>
        <v/>
      </c>
      <c r="I5" s="16">
        <f>C5*E5/60</f>
        <v/>
      </c>
      <c r="J5" s="16">
        <f>H5-I5</f>
        <v/>
      </c>
    </row>
    <row r="6">
      <c r="A6" s="4" t="inlineStr">
        <is>
          <t>Ergebnisse aus dem Papierdokument zurückführen</t>
        </is>
      </c>
      <c r="B6" s="11" t="inlineStr">
        <is>
          <t>je Prüfung</t>
        </is>
      </c>
      <c r="C6" s="12">
        <f>Annahmen!$C$7</f>
        <v/>
      </c>
      <c r="D6" s="4" t="n">
        <v>20</v>
      </c>
      <c r="E6" s="4" t="n">
        <v>5</v>
      </c>
      <c r="F6" s="4" t="inlineStr">
        <is>
          <t>Labor</t>
        </is>
      </c>
      <c r="G6" s="11" t="inlineStr">
        <is>
          <t>Auszählung und Fotos werden heute manuell am Datensatz hinterlegt</t>
        </is>
      </c>
      <c r="H6" s="16">
        <f>C6*D6/60</f>
        <v/>
      </c>
      <c r="I6" s="16">
        <f>C6*E6/60</f>
        <v/>
      </c>
      <c r="J6" s="16">
        <f>H6-I6</f>
        <v/>
      </c>
    </row>
    <row r="7">
      <c r="A7" s="4" t="inlineStr">
        <is>
          <t>Fotos zuordnen</t>
        </is>
      </c>
      <c r="B7" s="11" t="inlineStr">
        <is>
          <t>je Prüfung</t>
        </is>
      </c>
      <c r="C7" s="12">
        <f>Annahmen!$C$7</f>
        <v/>
      </c>
      <c r="D7" s="4" t="n">
        <v>12</v>
      </c>
      <c r="E7" s="4" t="n">
        <v>4</v>
      </c>
      <c r="F7" s="4" t="inlineStr">
        <is>
          <t>Labor / Probenehmer</t>
        </is>
      </c>
      <c r="G7" s="11" t="inlineStr">
        <is>
          <t>Fotos vom Pixel 8 werden heute per Hand dem Datensatz zugeordnet; keine Anbindung im Altsystem vorhanden</t>
        </is>
      </c>
      <c r="H7" s="16">
        <f>C7*D7/60</f>
        <v/>
      </c>
      <c r="I7" s="16">
        <f>C7*E7/60</f>
        <v/>
      </c>
      <c r="J7" s="16">
        <f>H7-I7</f>
        <v/>
      </c>
    </row>
    <row r="8">
      <c r="A8" s="4" t="inlineStr">
        <is>
          <t>Wiederholungsprüfungen terminieren und nachverfolgen</t>
        </is>
      </c>
      <c r="B8" s="11" t="inlineStr">
        <is>
          <t>je Prüfung</t>
        </is>
      </c>
      <c r="C8" s="12">
        <f>Annahmen!$C$7</f>
        <v/>
      </c>
      <c r="D8" s="4" t="n">
        <v>15</v>
      </c>
      <c r="E8" s="4" t="n">
        <v>2</v>
      </c>
      <c r="F8" s="4" t="inlineStr">
        <is>
          <t>Projektleitung</t>
        </is>
      </c>
      <c r="G8" s="11" t="inlineStr">
        <is>
          <t>Heute außerhalb des Systems in einer Ordnerstruktur. Der Anlagenstamm kennt kein Intervall- und kein Fälligkeitsfeld</t>
        </is>
      </c>
      <c r="H8" s="16">
        <f>C8*D8/60</f>
        <v/>
      </c>
      <c r="I8" s="16">
        <f>C8*E8/60</f>
        <v/>
      </c>
      <c r="J8" s="16">
        <f>H8-I8</f>
        <v/>
      </c>
    </row>
    <row r="9">
      <c r="A9" s="4" t="inlineStr">
        <is>
          <t>Angebot schreiben</t>
        </is>
      </c>
      <c r="B9" s="11" t="inlineStr">
        <is>
          <t>je Prüfung</t>
        </is>
      </c>
      <c r="C9" s="12">
        <f>Annahmen!$C$7</f>
        <v/>
      </c>
      <c r="D9" s="4" t="n">
        <v>18</v>
      </c>
      <c r="E9" s="4" t="n">
        <v>6</v>
      </c>
      <c r="F9" s="4" t="inlineStr">
        <is>
          <t>Kaufmännisch</t>
        </is>
      </c>
      <c r="G9" s="11" t="inlineStr">
        <is>
          <t>Künftig aus der fälligen Wartungsanfrage heraus mit Preis aus der Preisliste</t>
        </is>
      </c>
      <c r="H9" s="16">
        <f>C9*D9/60</f>
        <v/>
      </c>
      <c r="I9" s="16">
        <f>C9*E9/60</f>
        <v/>
      </c>
      <c r="J9" s="16">
        <f>H9-I9</f>
        <v/>
      </c>
    </row>
    <row r="10">
      <c r="A10" s="4" t="inlineStr">
        <is>
          <t>Rechnung erstellen und versenden</t>
        </is>
      </c>
      <c r="B10" s="11" t="inlineStr">
        <is>
          <t>je Rechnung</t>
        </is>
      </c>
      <c r="C10" s="12">
        <f>Annahmen!$C$9</f>
        <v/>
      </c>
      <c r="D10" s="4" t="n">
        <v>15</v>
      </c>
      <c r="E10" s="4" t="n">
        <v>4</v>
      </c>
      <c r="F10" s="4" t="inlineStr">
        <is>
          <t>Kaufmännisch</t>
        </is>
      </c>
      <c r="G10" s="11" t="inlineStr">
        <is>
          <t>Heute manuell nach Fertigstellung des Gutachtens angestoßen</t>
        </is>
      </c>
      <c r="H10" s="16">
        <f>C10*D10/60</f>
        <v/>
      </c>
      <c r="I10" s="16">
        <f>C10*E10/60</f>
        <v/>
      </c>
      <c r="J10" s="16">
        <f>H10-I10</f>
        <v/>
      </c>
    </row>
    <row r="11">
      <c r="A11" s="4" t="inlineStr">
        <is>
          <t>Zahlungseingänge zuordnen und Mahnungen schreiben</t>
        </is>
      </c>
      <c r="B11" s="11" t="inlineStr">
        <is>
          <t>je Rechnung</t>
        </is>
      </c>
      <c r="C11" s="12">
        <f>Annahmen!$C$9</f>
        <v/>
      </c>
      <c r="D11" s="4" t="n">
        <v>8</v>
      </c>
      <c r="E11" s="4" t="n">
        <v>2</v>
      </c>
      <c r="F11" s="4" t="inlineStr">
        <is>
          <t>Buchhaltung</t>
        </is>
      </c>
      <c r="G11" s="11" t="inlineStr">
        <is>
          <t>Künftig über Bankabgleich und Mahnstufen</t>
        </is>
      </c>
      <c r="H11" s="16">
        <f>C11*D11/60</f>
        <v/>
      </c>
      <c r="I11" s="16">
        <f>C11*E11/60</f>
        <v/>
      </c>
      <c r="J11" s="16">
        <f>H11-I11</f>
        <v/>
      </c>
    </row>
    <row r="12">
      <c r="A12" s="4" t="inlineStr">
        <is>
          <t>Stammdaten mehrfach pflegen</t>
        </is>
      </c>
      <c r="B12" s="11" t="inlineStr">
        <is>
          <t>je Neukunde</t>
        </is>
      </c>
      <c r="C12" s="12">
        <f>Annahmen!$C$12</f>
        <v/>
      </c>
      <c r="D12" s="4" t="n">
        <v>20</v>
      </c>
      <c r="E12" s="4" t="n">
        <v>6</v>
      </c>
      <c r="F12" s="4" t="inlineStr">
        <is>
          <t>Kaufmännisch</t>
        </is>
      </c>
      <c r="G12" s="11" t="inlineStr">
        <is>
          <t>Heute getrennt in Altsystem, Excel und Buchhaltung. Künftig einmal in Odoo, das Altsystem liest über die Stammdatenbrücke</t>
        </is>
      </c>
      <c r="H12" s="16">
        <f>C12*D12/60</f>
        <v/>
      </c>
      <c r="I12" s="16">
        <f>C12*E12/60</f>
        <v/>
      </c>
      <c r="J12" s="16">
        <f>H12-I12</f>
        <v/>
      </c>
    </row>
    <row r="13">
      <c r="A13" s="4" t="inlineStr">
        <is>
          <t>Kursorganisation: Anmeldung, Bestätigung, Erinnerung</t>
        </is>
      </c>
      <c r="B13" s="11" t="inlineStr">
        <is>
          <t>je Teilnehmer</t>
        </is>
      </c>
      <c r="C13" s="12">
        <f>Annahmen!$C$10*Annahmen!$C$11</f>
        <v/>
      </c>
      <c r="D13" s="4" t="n">
        <v>9</v>
      </c>
      <c r="E13" s="4" t="n">
        <v>2</v>
      </c>
      <c r="F13" s="4" t="inlineStr">
        <is>
          <t>Kaufmännisch</t>
        </is>
      </c>
      <c r="G13" s="11" t="inlineStr">
        <is>
          <t>Heute vollständig außerhalb eines Systems – im Altsystem gibt es keine Schulungsfunktion</t>
        </is>
      </c>
      <c r="H13" s="16">
        <f>C13*D13/60</f>
        <v/>
      </c>
      <c r="I13" s="16">
        <f>C13*E13/60</f>
        <v/>
      </c>
      <c r="J13" s="16">
        <f>H13-I13</f>
        <v/>
      </c>
    </row>
    <row r="14">
      <c r="A14" s="4" t="inlineStr">
        <is>
          <t>Teilnehmerliste und Bescheinigungen</t>
        </is>
      </c>
      <c r="B14" s="11" t="inlineStr">
        <is>
          <t>je Kurs</t>
        </is>
      </c>
      <c r="C14" s="12">
        <f>Annahmen!$C$10</f>
        <v/>
      </c>
      <c r="D14" s="4" t="n">
        <v>90</v>
      </c>
      <c r="E14" s="4" t="n">
        <v>20</v>
      </c>
      <c r="F14" s="4" t="inlineStr">
        <is>
          <t>Kaufmännisch</t>
        </is>
      </c>
      <c r="G14" s="11" t="inlineStr">
        <is>
          <t>Künftig aus dem Kurs erzeugt</t>
        </is>
      </c>
      <c r="H14" s="16">
        <f>C14*D14/60</f>
        <v/>
      </c>
      <c r="I14" s="16">
        <f>C14*E14/60</f>
        <v/>
      </c>
      <c r="J14" s="16">
        <f>H14-I14</f>
        <v/>
      </c>
    </row>
    <row r="15">
      <c r="A15" s="4" t="inlineStr">
        <is>
          <t>Belege für die Buchhaltung aufbereiten</t>
        </is>
      </c>
      <c r="B15" s="11" t="inlineStr">
        <is>
          <t>je Monat</t>
        </is>
      </c>
      <c r="C15" s="12">
        <f>Annahmen!$C$13</f>
        <v/>
      </c>
      <c r="D15" s="4" t="n">
        <v>240</v>
      </c>
      <c r="E15" s="4" t="n">
        <v>60</v>
      </c>
      <c r="F15" s="4" t="inlineStr">
        <is>
          <t>Buchhaltung</t>
        </is>
      </c>
      <c r="G15" s="11" t="inlineStr">
        <is>
          <t>Künftig DATEV-Export aus Odoo</t>
        </is>
      </c>
      <c r="H15" s="16">
        <f>C15*D15/60</f>
        <v/>
      </c>
      <c r="I15" s="16">
        <f>C15*E15/60</f>
        <v/>
      </c>
      <c r="J15" s="16">
        <f>H15-I15</f>
        <v/>
      </c>
    </row>
    <row r="16">
      <c r="A16" s="4" t="inlineStr">
        <is>
          <t>Monatsabschluss und Auswertungen zusammenstellen</t>
        </is>
      </c>
      <c r="B16" s="11" t="inlineStr">
        <is>
          <t>je Monat</t>
        </is>
      </c>
      <c r="C16" s="12">
        <f>Annahmen!$C$13</f>
        <v/>
      </c>
      <c r="D16" s="4" t="n">
        <v>300</v>
      </c>
      <c r="E16" s="4" t="n">
        <v>120</v>
      </c>
      <c r="F16" s="4" t="inlineStr">
        <is>
          <t>Buchhaltung / GF</t>
        </is>
      </c>
      <c r="G16" s="11" t="inlineStr">
        <is>
          <t>Voraussichtlich heute in Excel</t>
        </is>
      </c>
      <c r="H16" s="16">
        <f>C16*D16/60</f>
        <v/>
      </c>
      <c r="I16" s="16">
        <f>C16*E16/60</f>
        <v/>
      </c>
      <c r="J16" s="16">
        <f>H16-I16</f>
        <v/>
      </c>
    </row>
    <row r="17">
      <c r="A17" s="4" t="inlineStr">
        <is>
          <t>Meldung an die Gruppe aufbereiten</t>
        </is>
      </c>
      <c r="B17" s="11" t="inlineStr">
        <is>
          <t>je Meldung</t>
        </is>
      </c>
      <c r="C17" s="12">
        <f>Annahmen!$C$14</f>
        <v/>
      </c>
      <c r="D17" s="4" t="n">
        <v>180</v>
      </c>
      <c r="E17" s="4" t="n">
        <v>30</v>
      </c>
      <c r="F17" s="4" t="inlineStr">
        <is>
          <t>Buchhaltung</t>
        </is>
      </c>
      <c r="G17" s="11" t="inlineStr">
        <is>
          <t>Nach Einrichtung der LucaNet-Lieferung nahe null. Option O2 im Angebot</t>
        </is>
      </c>
      <c r="H17" s="16">
        <f>C17*D17/60</f>
        <v/>
      </c>
      <c r="I17" s="16">
        <f>C17*E17/60</f>
        <v/>
      </c>
      <c r="J17" s="16">
        <f>H17-I17</f>
        <v/>
      </c>
    </row>
    <row r="18">
      <c r="A18" s="4" t="inlineStr">
        <is>
          <t>Auskunft geben: Wo steht der Auftrag, was ist fällig</t>
        </is>
      </c>
      <c r="B18" s="11" t="inlineStr">
        <is>
          <t>je Prüfung</t>
        </is>
      </c>
      <c r="C18" s="12">
        <f>Annahmen!$C$7</f>
        <v/>
      </c>
      <c r="D18" s="4" t="n">
        <v>6</v>
      </c>
      <c r="E18" s="4" t="n">
        <v>1</v>
      </c>
      <c r="F18" s="4" t="inlineStr">
        <is>
          <t>alle</t>
        </is>
      </c>
      <c r="G18" s="11" t="inlineStr">
        <is>
          <t>Heute Rückfragen an einzelne Personen, künftig im System sichtbar</t>
        </is>
      </c>
      <c r="H18" s="16">
        <f>C18*D18/60</f>
        <v/>
      </c>
      <c r="I18" s="16">
        <f>C18*E18/60</f>
        <v/>
      </c>
      <c r="J18" s="16">
        <f>H18-I18</f>
        <v/>
      </c>
    </row>
    <row r="20">
      <c r="A20" s="17" t="inlineStr">
        <is>
          <t>Summe</t>
        </is>
      </c>
      <c r="B20" s="18" t="inlineStr"/>
      <c r="C20" s="17" t="inlineStr"/>
      <c r="D20" s="17" t="inlineStr"/>
      <c r="E20" s="17" t="inlineStr"/>
      <c r="F20" s="17" t="inlineStr"/>
      <c r="G20" s="18" t="inlineStr"/>
      <c r="H20" s="19">
        <f>SUM(H5:H18)</f>
        <v/>
      </c>
      <c r="I20" s="19">
        <f>SUM(I5:I18)</f>
        <v/>
      </c>
      <c r="J20" s="19">
        <f>SUM(J5:J18)</f>
        <v/>
      </c>
    </row>
  </sheetData>
  <mergeCells count="2">
    <mergeCell ref="A1:J1"/>
    <mergeCell ref="A2:J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6" customWidth="1" min="1" max="1"/>
    <col width="20" customWidth="1" min="2" max="2"/>
    <col width="40" customWidth="1" min="3" max="3"/>
    <col width="58" customWidth="1" min="4" max="4"/>
    <col width="26" customWidth="1" min="5" max="5"/>
  </cols>
  <sheetData>
    <row r="1">
      <c r="A1" s="1" t="inlineStr">
        <is>
          <t>Verteilung auf die Rollen</t>
        </is>
      </c>
    </row>
    <row r="2" ht="28" customHeight="1">
      <c r="A2" s="2" t="inlineStr">
        <is>
          <t>Die Stellenzahlen sind aus den 17 Benutzerkonten des Altsystems und dem Discovery Call abgeleitet. Ein Organigramm liegt nicht vor – die Zuordnung ist mit biotec zu bestätigen.</t>
        </is>
      </c>
    </row>
    <row r="4" ht="30" customHeight="1">
      <c r="A4" s="3" t="inlineStr">
        <is>
          <t>Rolle</t>
        </is>
      </c>
      <c r="B4" s="3" t="inlineStr">
        <is>
          <t>Personen (geschätzt)</t>
        </is>
      </c>
      <c r="C4" s="3" t="inlineStr">
        <is>
          <t>Namentlich bekannt</t>
        </is>
      </c>
      <c r="D4" s="3" t="inlineStr">
        <is>
          <t>Aufgaben heute</t>
        </is>
      </c>
      <c r="E4" s="3" t="inlineStr">
        <is>
          <t>Freiwerdende Stunden je Jahr</t>
        </is>
      </c>
    </row>
    <row r="5">
      <c r="A5" s="4" t="inlineStr">
        <is>
          <t>Projektleitung Hygieneinspektion</t>
        </is>
      </c>
      <c r="B5" s="11" t="n">
        <v>2</v>
      </c>
      <c r="C5" s="4" t="inlineStr">
        <is>
          <t>Michael Brand, Stephan Krol</t>
        </is>
      </c>
      <c r="D5" s="4" t="inlineStr">
        <is>
          <t>Anlagenlisten, Terminierung, Kundenorganisation, Gutachtenübergabe</t>
        </is>
      </c>
      <c r="E5" s="16">
        <f>SUMIF(Tätigkeiten!$F$5:$F$18,A5,Tätigkeiten!$J$5:$J$18)</f>
        <v/>
      </c>
    </row>
    <row r="6">
      <c r="A6" s="4" t="inlineStr">
        <is>
          <t>Labor und Probenahme</t>
        </is>
      </c>
      <c r="B6" s="11" t="n">
        <v>8</v>
      </c>
      <c r="C6" s="4" t="inlineStr">
        <is>
          <t>10 Probennehmer mit Laboreingabe, 2 Praktikanten</t>
        </is>
      </c>
      <c r="D6" s="4" t="inlineStr">
        <is>
          <t>Probenahme vor Ort, Bebrütung, Auszählung, Fotodokumentation</t>
        </is>
      </c>
      <c r="E6" s="16">
        <f>SUMIF(Tätigkeiten!$F$5:$F$18,A6,Tätigkeiten!$J$5:$J$18)</f>
        <v/>
      </c>
    </row>
    <row r="7">
      <c r="A7" s="4" t="inlineStr">
        <is>
          <t>Kaufmännisch und Organisation</t>
        </is>
      </c>
      <c r="B7" s="11" t="n">
        <v>1</v>
      </c>
      <c r="C7" s="4" t="inlineStr">
        <is>
          <t>Nicole Krupa</t>
        </is>
      </c>
      <c r="D7" s="4" t="inlineStr">
        <is>
          <t>Rechnungen, Schulungen, Werbung</t>
        </is>
      </c>
      <c r="E7" s="16">
        <f>SUMIF(Tätigkeiten!$F$5:$F$18,A7,Tätigkeiten!$J$5:$J$18)</f>
        <v/>
      </c>
    </row>
    <row r="8">
      <c r="A8" s="4" t="inlineStr">
        <is>
          <t>Buchhaltung</t>
        </is>
      </c>
      <c r="B8" s="11" t="n">
        <v>1</v>
      </c>
      <c r="C8" s="4" t="inlineStr">
        <is>
          <t>Annette Krupa</t>
        </is>
      </c>
      <c r="D8" s="4" t="inlineStr">
        <is>
          <t>Belege, Abschlüsse, Meldungen</t>
        </is>
      </c>
      <c r="E8" s="16">
        <f>SUMIF(Tätigkeiten!$F$5:$F$18,A8,Tätigkeiten!$J$5:$J$18)</f>
        <v/>
      </c>
    </row>
    <row r="9">
      <c r="A9" s="4" t="inlineStr">
        <is>
          <t>Laborkoordination und Prozesse</t>
        </is>
      </c>
      <c r="B9" s="11" t="n">
        <v>1</v>
      </c>
      <c r="C9" s="4" t="inlineStr">
        <is>
          <t>Melanie Frank</t>
        </is>
      </c>
      <c r="D9" s="4" t="inlineStr">
        <is>
          <t>Laborkoordination, übergeordnete Prozesse, Hygieneinspektion</t>
        </is>
      </c>
      <c r="E9" s="16">
        <f>SUMIF(Tätigkeiten!$F$5:$F$18,A9,Tätigkeiten!$J$5:$J$18)</f>
        <v/>
      </c>
    </row>
    <row r="10">
      <c r="A10" s="4" t="inlineStr">
        <is>
          <t>IT</t>
        </is>
      </c>
      <c r="B10" s="11" t="n">
        <v>0</v>
      </c>
      <c r="C10" s="4" t="inlineStr">
        <is>
          <t>Westbomke EDV (extern)</t>
        </is>
      </c>
      <c r="D10" s="4" t="inlineStr">
        <is>
          <t>Betrieb, Altsystem</t>
        </is>
      </c>
      <c r="E10" s="16">
        <f>SUMIF(Tätigkeiten!$F$5:$F$18,A10,Tätigkeiten!$J$5:$J$18)</f>
        <v/>
      </c>
    </row>
    <row r="12">
      <c r="A12" s="20" t="inlineStr">
        <is>
          <t>Nicht eindeutig zugeordnet</t>
        </is>
      </c>
      <c r="B12" s="21" t="inlineStr"/>
      <c r="C12" s="20" t="inlineStr"/>
      <c r="D12" s="20" t="inlineStr">
        <is>
          <t>übergreifende Tätigkeiten</t>
        </is>
      </c>
      <c r="E12" s="22">
        <f>Tätigkeiten!J20-SUM(E5:E10)</f>
        <v/>
      </c>
    </row>
    <row r="14" ht="28" customHeight="1">
      <c r="A14" s="2" t="inlineStr">
        <is>
          <t>Die Zuordnung folgt der Spalte „Rolle“ im Blatt Tätigkeiten. Wo die Bezeichnungen nicht genau übereinstimmen, erscheint der Rest in der Zeile „nicht eindeutig zugeordnet“. Für eine belastbare Rollenrechnung sind die Bezeichnungen mit dem Organigramm abzugleichen.</t>
        </is>
      </c>
    </row>
  </sheetData>
  <mergeCells count="3">
    <mergeCell ref="A2:E2"/>
    <mergeCell ref="A1:E1"/>
    <mergeCell ref="A14:E1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40" customWidth="1" min="1" max="1"/>
    <col width="16" customWidth="1" min="2" max="2"/>
    <col width="92" customWidth="1" min="3" max="3"/>
  </cols>
  <sheetData>
    <row r="1">
      <c r="A1" s="1" t="inlineStr">
        <is>
          <t>Wohin die freie Kapazität fließen soll</t>
        </is>
      </c>
    </row>
    <row r="2" ht="28" customHeight="1">
      <c r="A2" s="2" t="inlineStr">
        <is>
          <t>Bewusst keine Personaleinsparung. Diese Darstellung ist im IT-Spend-Meeting stärker und im Betrieb ehrlicher: mehr Geschäft mit demselben Team.</t>
        </is>
      </c>
    </row>
    <row r="4" ht="30" customHeight="1">
      <c r="A4" s="3" t="inlineStr">
        <is>
          <t>Ziel</t>
        </is>
      </c>
      <c r="B4" s="3" t="inlineStr">
        <is>
          <t>Art des Hebels</t>
        </is>
      </c>
      <c r="C4" s="3" t="inlineStr">
        <is>
          <t>Begründung</t>
        </is>
      </c>
    </row>
    <row r="5">
      <c r="A5" s="4" t="inlineStr">
        <is>
          <t>Zweites Dozententeam aufbauen</t>
        </is>
      </c>
      <c r="B5" s="11" t="inlineStr">
        <is>
          <t>Wachstum</t>
        </is>
      </c>
      <c r="C5" s="4" t="inlineStr">
        <is>
          <t>biotec baut ein zweites Dozententeam auf. Freie Zeit in der Kursorganisation trägt zusätzliche Kurse ohne Neueinstellung</t>
        </is>
      </c>
    </row>
    <row r="6">
      <c r="A6" s="4" t="inlineStr">
        <is>
          <t>Wiederholungsprüfungen konsequent nachfassen</t>
        </is>
      </c>
      <c r="B6" s="11" t="inlineStr">
        <is>
          <t>Umsatz</t>
        </is>
      </c>
      <c r="C6" s="4" t="inlineStr">
        <is>
          <t>Der stärkste Hebel: jede nicht terminierte Wiederholungsprüfung ist ein verlorener Auftrag. 938 Anlagen im Bestand, systematische Fälligkeitsverfolgung erstmals möglich</t>
        </is>
      </c>
    </row>
    <row r="7">
      <c r="A7" s="4" t="inlineStr">
        <is>
          <t>Akquise aus dem Interessentenbestand</t>
        </is>
      </c>
      <c r="B7" s="11" t="inlineStr">
        <is>
          <t>Umsatz</t>
        </is>
      </c>
      <c r="C7" s="4" t="inlineStr">
        <is>
          <t>10.387 Interessenten liegen im Altsystem und werden heute kaum systematisch bearbeitet</t>
        </is>
      </c>
    </row>
    <row r="8">
      <c r="A8" s="4" t="inlineStr">
        <is>
          <t>Analytik Mittweida ausbauen</t>
        </is>
      </c>
      <c r="B8" s="11" t="inlineStr">
        <is>
          <t>Wachstum</t>
        </is>
      </c>
      <c r="C8" s="4" t="inlineStr">
        <is>
          <t>Zweiter Geschäftszweig mit 2–3 Personen; Kapazität in der Verwaltung entlastet den Standort</t>
        </is>
      </c>
    </row>
    <row r="9">
      <c r="A9" s="4" t="inlineStr">
        <is>
          <t>Vertretbarkeit bei Personalausfall</t>
        </is>
      </c>
      <c r="B9" s="11" t="inlineStr">
        <is>
          <t>Risiko</t>
        </is>
      </c>
      <c r="C9" s="4" t="inlineStr">
        <is>
          <t>Nicht monetär, aber im Betrieb wertvoll: Abläufe im System statt in Köpfen</t>
        </is>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2026-09-04T05:38:44Z</dcterms:created>
  <dcterms:modified xmlns:dcterms="http://purl.org/dc/terms/" xmlns:xsi="http://www.w3.org/2001/XMLSchema-instance" xsi:type="dcterms:W3CDTF">2026-09-04T05:38:44Z</dcterms:modified>
</cp:coreProperties>
</file>